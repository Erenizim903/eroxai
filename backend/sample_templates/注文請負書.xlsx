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fef64c046fde1a/デスクトップ/"/>
    </mc:Choice>
  </mc:AlternateContent>
  <xr:revisionPtr revIDLastSave="34" documentId="8_{D313C138-7447-4D61-8D2F-429819C35321}" xr6:coauthVersionLast="47" xr6:coauthVersionMax="47" xr10:uidLastSave="{FFD1D6C5-ABFA-4078-95F3-CFAEBFF8C592}"/>
  <bookViews>
    <workbookView xWindow="-108" yWindow="-108" windowWidth="23256" windowHeight="12456" activeTab="1" xr2:uid="{74B5225E-A117-4533-B31C-71E240BC888B}"/>
  </bookViews>
  <sheets>
    <sheet name="注文請負書" sheetId="1" r:id="rId1"/>
    <sheet name="2023.07.25中野区【OSAKA】" sheetId="2" r:id="rId2"/>
  </sheets>
  <definedNames>
    <definedName name="_xlnm.Print_Area" localSheetId="1">'2023.07.25中野区【OSAKA】'!$A$1:$Q$35</definedName>
    <definedName name="_xlnm.Print_Area" localSheetId="0">注文請負書!$A$1:$Q$35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8" i="2" l="1"/>
  <c r="L28" i="1"/>
  <c r="L29" i="1"/>
  <c r="L30" i="1" s="1"/>
  <c r="D13" i="1" s="1"/>
  <c r="L29" i="2" l="1"/>
  <c r="L30" i="2" s="1"/>
  <c r="D1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D13" authorId="0" shapeId="0" xr:uid="{DC050D90-AA8D-4472-962F-1A5D4A374337}">
      <text>
        <r>
          <rPr>
            <sz val="9"/>
            <color indexed="81"/>
            <rFont val="ＭＳ Ｐゴシック"/>
            <family val="3"/>
            <charset val="128"/>
          </rPr>
          <t>数式が入っています。</t>
        </r>
      </text>
    </comment>
    <comment ref="O16" authorId="0" shapeId="0" xr:uid="{64D5B925-7C8D-4848-9934-6B2C05EAF782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17" authorId="0" shapeId="0" xr:uid="{8658B9A6-D8C5-474F-85A6-F31A9AC64384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18" authorId="0" shapeId="0" xr:uid="{592179F4-0943-42AD-9C06-6687AD3AAD0C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19" authorId="0" shapeId="0" xr:uid="{A8C1F3B3-075E-4940-8340-15A0460985CD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0" authorId="0" shapeId="0" xr:uid="{212C6D69-6A0D-492E-8877-774C62D0C458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1" authorId="0" shapeId="0" xr:uid="{8CA4D27D-DAD5-4D0E-A640-0996D9089EE4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2" authorId="0" shapeId="0" xr:uid="{5F394FDE-3679-4D53-B1C5-19B4318D18E7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3" authorId="0" shapeId="0" xr:uid="{7CA42AB8-FA76-4BBD-B23B-62998ECE3154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4" authorId="0" shapeId="0" xr:uid="{B96E8AB1-DB35-4DDF-B365-3BA8A5F30B30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5" authorId="0" shapeId="0" xr:uid="{82259312-FDAF-4DF9-AFD3-4B06E9052B1A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6" authorId="0" shapeId="0" xr:uid="{83C80A33-9682-44B4-8457-ADF9F6B56586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7" authorId="0" shapeId="0" xr:uid="{2AC4A7F8-6773-4E2C-9DA5-5C1577F10931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L28" authorId="0" shapeId="0" xr:uid="{FA8B69DF-44C4-4979-A74C-E7B17C5E25B6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L29" authorId="0" shapeId="0" xr:uid="{2C4BD12C-86EA-4761-B798-37C941912C33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L30" authorId="0" shapeId="0" xr:uid="{B1A8B7F3-7853-428B-8C48-6D5471036FB6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D13" authorId="0" shapeId="0" xr:uid="{3A8BB044-60B7-46E2-A368-D5FABECDFC12}">
      <text>
        <r>
          <rPr>
            <sz val="9"/>
            <color indexed="81"/>
            <rFont val="ＭＳ Ｐゴシック"/>
            <family val="3"/>
            <charset val="128"/>
          </rPr>
          <t>数式が入っています。</t>
        </r>
      </text>
    </comment>
    <comment ref="O16" authorId="0" shapeId="0" xr:uid="{2A1BE83E-8DBF-4F98-8EA6-E61A77B433E1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17" authorId="0" shapeId="0" xr:uid="{5D410142-D411-40DA-A340-D681F2BDBA7A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18" authorId="0" shapeId="0" xr:uid="{47E7CE48-D9BB-482F-8482-694D08004A19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19" authorId="0" shapeId="0" xr:uid="{F97FFA62-C44B-4E32-BF00-D29D72B32DD1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0" authorId="0" shapeId="0" xr:uid="{F4FD48BF-13B3-4F7A-A450-0C3C73411EA5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1" authorId="0" shapeId="0" xr:uid="{85C78F36-8277-4248-BC2E-92A3B7BC5029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2" authorId="0" shapeId="0" xr:uid="{E111C3C4-CEB7-4481-9EBE-6F3734558260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3" authorId="0" shapeId="0" xr:uid="{C3FE40EC-F45F-41E0-ABA2-8EF8743465B9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4" authorId="0" shapeId="0" xr:uid="{830223F8-5F59-490A-815A-0718C7742FA1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5" authorId="0" shapeId="0" xr:uid="{E803F433-B8F6-4D42-B103-EDE191918BDB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6" authorId="0" shapeId="0" xr:uid="{9647C105-566D-43BF-81CA-530F201D5E56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7" authorId="0" shapeId="0" xr:uid="{A110CB3D-5BBB-4B5F-BBD8-308C7FCFC395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L28" authorId="0" shapeId="0" xr:uid="{7F759772-F001-4B35-B69A-8E94872C6318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L29" authorId="0" shapeId="0" xr:uid="{4866316E-511A-43BA-B645-CC17466EFC56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L30" authorId="0" shapeId="0" xr:uid="{95FC6C26-CA76-4E5D-AF06-0926A0A07533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</commentList>
</comments>
</file>

<file path=xl/sharedStrings.xml><?xml version="1.0" encoding="utf-8"?>
<sst xmlns="http://schemas.openxmlformats.org/spreadsheetml/2006/main" count="56" uniqueCount="37">
  <si>
    <t>備考</t>
    <rPh sb="0" eb="2">
      <t>ビコウ</t>
    </rPh>
    <phoneticPr fontId="6"/>
  </si>
  <si>
    <t>合計</t>
    <rPh sb="0" eb="2">
      <t>ゴウケイ</t>
    </rPh>
    <phoneticPr fontId="6"/>
  </si>
  <si>
    <t>消費税</t>
    <rPh sb="0" eb="3">
      <t>ショウヒゼイ</t>
    </rPh>
    <phoneticPr fontId="6"/>
  </si>
  <si>
    <t>小計</t>
    <rPh sb="0" eb="2">
      <t>ショウケイ</t>
    </rPh>
    <phoneticPr fontId="6"/>
  </si>
  <si>
    <t>金額</t>
    <rPh sb="0" eb="2">
      <t>キンガク</t>
    </rPh>
    <phoneticPr fontId="6"/>
  </si>
  <si>
    <t>単価</t>
    <rPh sb="0" eb="2">
      <t>タンカ</t>
    </rPh>
    <phoneticPr fontId="6"/>
  </si>
  <si>
    <t>数量</t>
    <rPh sb="0" eb="2">
      <t>スウリョウ</t>
    </rPh>
    <phoneticPr fontId="6"/>
  </si>
  <si>
    <t>摘要</t>
    <rPh sb="0" eb="2">
      <t>テキヨウ</t>
    </rPh>
    <phoneticPr fontId="6"/>
  </si>
  <si>
    <t>No.</t>
    <phoneticPr fontId="6"/>
  </si>
  <si>
    <t>（税込）</t>
    <rPh sb="1" eb="3">
      <t>ゼイコミ</t>
    </rPh>
    <phoneticPr fontId="6"/>
  </si>
  <si>
    <t>合計金額</t>
    <rPh sb="0" eb="2">
      <t>ゴウケイ</t>
    </rPh>
    <rPh sb="2" eb="4">
      <t>キンガク</t>
    </rPh>
    <phoneticPr fontId="6"/>
  </si>
  <si>
    <t>印</t>
    <rPh sb="0" eb="1">
      <t>イン</t>
    </rPh>
    <phoneticPr fontId="2"/>
  </si>
  <si>
    <t>　　</t>
    <phoneticPr fontId="2"/>
  </si>
  <si>
    <t>工事請負契約書に記載の支払方法に準ずる。</t>
    <rPh sb="0" eb="2">
      <t>コウジ</t>
    </rPh>
    <rPh sb="2" eb="4">
      <t>ウケオイ</t>
    </rPh>
    <rPh sb="4" eb="7">
      <t>ケイヤクショ</t>
    </rPh>
    <rPh sb="8" eb="10">
      <t>キサイ</t>
    </rPh>
    <rPh sb="11" eb="13">
      <t>シハライ</t>
    </rPh>
    <rPh sb="13" eb="15">
      <t>ホウホウ</t>
    </rPh>
    <rPh sb="16" eb="17">
      <t>ジュン</t>
    </rPh>
    <phoneticPr fontId="2"/>
  </si>
  <si>
    <t>支払条件：</t>
    <rPh sb="0" eb="4">
      <t>シハライジョウケン</t>
    </rPh>
    <phoneticPr fontId="6"/>
  </si>
  <si>
    <t>2023/　/　　～　2023/　/</t>
    <phoneticPr fontId="2"/>
  </si>
  <si>
    <t>工　　期：</t>
    <rPh sb="0" eb="1">
      <t>コウ</t>
    </rPh>
    <rPh sb="3" eb="4">
      <t>キ</t>
    </rPh>
    <phoneticPr fontId="2"/>
  </si>
  <si>
    <t>〒</t>
    <phoneticPr fontId="2"/>
  </si>
  <si>
    <t>場所：</t>
    <rPh sb="0" eb="2">
      <t>バショ</t>
    </rPh>
    <phoneticPr fontId="6"/>
  </si>
  <si>
    <t>御中</t>
    <rPh sb="0" eb="2">
      <t>オンチュウ</t>
    </rPh>
    <phoneticPr fontId="6"/>
  </si>
  <si>
    <t>注　文　請　負　書</t>
    <rPh sb="0" eb="1">
      <t>チュウ</t>
    </rPh>
    <rPh sb="2" eb="3">
      <t>ブン</t>
    </rPh>
    <rPh sb="4" eb="5">
      <t>ショウ</t>
    </rPh>
    <rPh sb="6" eb="7">
      <t>フ</t>
    </rPh>
    <rPh sb="8" eb="9">
      <t>ショ</t>
    </rPh>
    <phoneticPr fontId="6"/>
  </si>
  <si>
    <t>合同会社KAITAQ</t>
    <rPh sb="0" eb="4">
      <t>ゴウドウガイシャ</t>
    </rPh>
    <phoneticPr fontId="2"/>
  </si>
  <si>
    <t>発行日：年 　月　日</t>
    <rPh sb="0" eb="2">
      <t>ハッコウ</t>
    </rPh>
    <rPh sb="2" eb="3">
      <t>ビ</t>
    </rPh>
    <rPh sb="4" eb="5">
      <t>ネン</t>
    </rPh>
    <rPh sb="7" eb="8">
      <t>ガツ</t>
    </rPh>
    <rPh sb="9" eb="10">
      <t>ニチ</t>
    </rPh>
    <phoneticPr fontId="6"/>
  </si>
  <si>
    <t>発行日：2023年 7月24日</t>
    <rPh sb="0" eb="2">
      <t>ハッコウ</t>
    </rPh>
    <rPh sb="2" eb="3">
      <t>ビ</t>
    </rPh>
    <rPh sb="8" eb="9">
      <t>ネン</t>
    </rPh>
    <rPh sb="11" eb="12">
      <t>ガツ</t>
    </rPh>
    <rPh sb="14" eb="15">
      <t>ニチ</t>
    </rPh>
    <phoneticPr fontId="6"/>
  </si>
  <si>
    <t>2023/7/25　　～　2023/7/26</t>
    <phoneticPr fontId="2"/>
  </si>
  <si>
    <t>東京都中野区中央3-38-6</t>
    <rPh sb="0" eb="6">
      <t>トウキョウトナカノク</t>
    </rPh>
    <rPh sb="6" eb="8">
      <t>チュウオウ</t>
    </rPh>
    <phoneticPr fontId="2"/>
  </si>
  <si>
    <t>注文書に記載の支払方法に準ずる。</t>
    <rPh sb="0" eb="3">
      <t>チュウモンショ</t>
    </rPh>
    <rPh sb="4" eb="6">
      <t>キサイ</t>
    </rPh>
    <rPh sb="7" eb="9">
      <t>シハライ</t>
    </rPh>
    <rPh sb="9" eb="11">
      <t>ホウホウ</t>
    </rPh>
    <rPh sb="12" eb="13">
      <t>ジュン</t>
    </rPh>
    <phoneticPr fontId="2"/>
  </si>
  <si>
    <t>下記のとおり、受注致します。</t>
    <rPh sb="7" eb="9">
      <t>ジュチュウ</t>
    </rPh>
    <rPh sb="9" eb="10">
      <t>イタ</t>
    </rPh>
    <phoneticPr fontId="6"/>
  </si>
  <si>
    <t>〒343-0026</t>
    <phoneticPr fontId="2"/>
  </si>
  <si>
    <t>埼玉県越谷市北越谷2-2-1-105</t>
    <rPh sb="0" eb="6">
      <t>サイタマケンコシガヤシ</t>
    </rPh>
    <rPh sb="6" eb="9">
      <t>キタコシガヤ</t>
    </rPh>
    <phoneticPr fontId="2"/>
  </si>
  <si>
    <t>合同会社OSAKA</t>
    <rPh sb="0" eb="4">
      <t>ゴウドウガイシャ</t>
    </rPh>
    <phoneticPr fontId="2"/>
  </si>
  <si>
    <t>代表社員　ウチャル・ウムト</t>
    <rPh sb="0" eb="4">
      <t>ダイヒョウシャイン</t>
    </rPh>
    <phoneticPr fontId="2"/>
  </si>
  <si>
    <t>TEL:080-3564-0822</t>
    <phoneticPr fontId="2"/>
  </si>
  <si>
    <t>戸建て板金屋根材撤去工事</t>
    <rPh sb="0" eb="2">
      <t>コダ</t>
    </rPh>
    <rPh sb="3" eb="8">
      <t>バンキンヤネザイ</t>
    </rPh>
    <rPh sb="8" eb="12">
      <t>テッキョコウジ</t>
    </rPh>
    <phoneticPr fontId="2"/>
  </si>
  <si>
    <t>式</t>
    <rPh sb="0" eb="1">
      <t>シキ</t>
    </rPh>
    <phoneticPr fontId="2"/>
  </si>
  <si>
    <t>本案件については、近隣対策費[家屋調査含む]／アスベスト除去／ベタ基礎撤去／ﾘﾌｫｰﾑによる二重屋根・二重壁の撤去／その他追加工事は、上記本体工事の対象外と致します。</t>
    <rPh sb="51" eb="54">
      <t>ニジュウカベ</t>
    </rPh>
    <phoneticPr fontId="2"/>
  </si>
  <si>
    <t>本案件については、近隣対策費[家屋調査含む]／場内残置物撤去及び処分／フロンガス回収／ 杭抜き作業地中埋設物撤去／浄化槽撤去／井戸撤去／ｱｽﾍﾞｽﾄ除去／ベタ基礎撤去／ﾘﾌｫｰﾑによる二重屋根・壁の撤去　樹木伐採／3個所以上の試掘作業／その他追加工事は、上記本体工事の対象外と致します。</t>
    <rPh sb="97" eb="98">
      <t>カベ</t>
    </rPh>
    <rPh sb="102" eb="104">
      <t>ジュモク</t>
    </rPh>
    <rPh sb="104" eb="106">
      <t>バッサイ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</si>
</sst>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#,##0;[Red]\-#,##0&quot;（税込）&quot;"/>
  </numFmts>
  <fonts count="1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1.5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u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9"/>
      <color indexed="81"/>
      <name val="ＭＳ Ｐゴシック"/>
      <family val="3"/>
      <charset val="128"/>
    </font>
    <font>
      <b/>
      <sz val="11"/>
      <color theme="1" tint="4.9989318521683403E-2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6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1" fillId="0" borderId="0" xfId="1">
      <alignment vertical="center"/>
    </xf>
    <xf numFmtId="0" fontId="3" fillId="0" borderId="1" xfId="1" applyFont="1" applyBorder="1" applyAlignment="1" applyProtection="1">
      <alignment horizontal="left" vertical="top" wrapText="1"/>
      <protection locked="0"/>
    </xf>
    <xf numFmtId="0" fontId="3" fillId="0" borderId="2" xfId="1" applyFont="1" applyBorder="1" applyAlignment="1" applyProtection="1">
      <alignment horizontal="left" vertical="top" wrapText="1"/>
      <protection locked="0"/>
    </xf>
    <xf numFmtId="0" fontId="3" fillId="0" borderId="3" xfId="1" applyFont="1" applyBorder="1" applyAlignment="1" applyProtection="1">
      <alignment horizontal="left" vertical="top" wrapText="1"/>
      <protection locked="0"/>
    </xf>
    <xf numFmtId="0" fontId="4" fillId="2" borderId="1" xfId="1" applyFont="1" applyFill="1" applyBorder="1" applyAlignment="1" applyProtection="1">
      <alignment horizontal="center" vertical="center"/>
      <protection locked="0"/>
    </xf>
    <xf numFmtId="0" fontId="4" fillId="2" borderId="3" xfId="1" applyFont="1" applyFill="1" applyBorder="1" applyAlignment="1" applyProtection="1">
      <alignment horizontal="center" vertical="center"/>
      <protection locked="0"/>
    </xf>
    <xf numFmtId="0" fontId="3" fillId="0" borderId="4" xfId="1" applyFont="1" applyBorder="1" applyAlignment="1" applyProtection="1">
      <alignment horizontal="left" vertical="top" wrapText="1"/>
      <protection locked="0"/>
    </xf>
    <xf numFmtId="0" fontId="3" fillId="0" borderId="0" xfId="1" applyFont="1" applyAlignment="1" applyProtection="1">
      <alignment horizontal="left" vertical="top" wrapText="1"/>
      <protection locked="0"/>
    </xf>
    <xf numFmtId="0" fontId="3" fillId="0" borderId="5" xfId="1" applyFont="1" applyBorder="1" applyAlignment="1" applyProtection="1">
      <alignment horizontal="left" vertical="top" wrapText="1"/>
      <protection locked="0"/>
    </xf>
    <xf numFmtId="0" fontId="4" fillId="2" borderId="4" xfId="1" applyFont="1" applyFill="1" applyBorder="1" applyAlignment="1" applyProtection="1">
      <alignment horizontal="center" vertical="center"/>
      <protection locked="0"/>
    </xf>
    <xf numFmtId="0" fontId="4" fillId="2" borderId="5" xfId="1" applyFont="1" applyFill="1" applyBorder="1" applyAlignment="1" applyProtection="1">
      <alignment horizontal="center" vertical="center"/>
      <protection locked="0"/>
    </xf>
    <xf numFmtId="0" fontId="3" fillId="0" borderId="6" xfId="1" applyFont="1" applyBorder="1" applyAlignment="1" applyProtection="1">
      <alignment horizontal="left" vertical="top" wrapText="1"/>
      <protection locked="0"/>
    </xf>
    <xf numFmtId="0" fontId="3" fillId="0" borderId="7" xfId="1" applyFont="1" applyBorder="1" applyAlignment="1" applyProtection="1">
      <alignment horizontal="left" vertical="top" wrapText="1"/>
      <protection locked="0"/>
    </xf>
    <xf numFmtId="0" fontId="5" fillId="0" borderId="8" xfId="1" applyFont="1" applyBorder="1" applyAlignment="1" applyProtection="1">
      <alignment horizontal="left" vertical="top" wrapText="1"/>
      <protection locked="0"/>
    </xf>
    <xf numFmtId="0" fontId="4" fillId="2" borderId="6" xfId="1" applyFont="1" applyFill="1" applyBorder="1" applyAlignment="1" applyProtection="1">
      <alignment horizontal="center" vertical="center"/>
      <protection locked="0"/>
    </xf>
    <xf numFmtId="0" fontId="4" fillId="2" borderId="8" xfId="1" applyFont="1" applyFill="1" applyBorder="1" applyAlignment="1" applyProtection="1">
      <alignment horizontal="center" vertical="center"/>
      <protection locked="0"/>
    </xf>
    <xf numFmtId="0" fontId="7" fillId="0" borderId="0" xfId="1" applyFont="1" applyProtection="1">
      <alignment vertical="center"/>
      <protection locked="0"/>
    </xf>
    <xf numFmtId="0" fontId="8" fillId="0" borderId="0" xfId="1" applyFont="1" applyProtection="1">
      <alignment vertical="center"/>
      <protection locked="0"/>
    </xf>
    <xf numFmtId="0" fontId="7" fillId="0" borderId="0" xfId="1" applyFont="1" applyAlignment="1" applyProtection="1">
      <alignment horizontal="center" vertical="center"/>
      <protection locked="0"/>
    </xf>
    <xf numFmtId="6" fontId="4" fillId="0" borderId="9" xfId="2" applyFont="1" applyBorder="1" applyAlignment="1" applyProtection="1">
      <alignment horizontal="right" vertical="center"/>
    </xf>
    <xf numFmtId="6" fontId="4" fillId="0" borderId="10" xfId="2" applyFont="1" applyBorder="1" applyAlignment="1" applyProtection="1">
      <alignment horizontal="right" vertical="center"/>
    </xf>
    <xf numFmtId="6" fontId="4" fillId="0" borderId="11" xfId="2" applyFont="1" applyBorder="1" applyAlignment="1" applyProtection="1">
      <alignment horizontal="right" vertical="center"/>
    </xf>
    <xf numFmtId="0" fontId="4" fillId="2" borderId="11" xfId="1" applyFont="1" applyFill="1" applyBorder="1" applyAlignment="1" applyProtection="1">
      <alignment horizontal="center" vertical="center"/>
      <protection locked="0"/>
    </xf>
    <xf numFmtId="0" fontId="7" fillId="0" borderId="0" xfId="1" applyFont="1" applyProtection="1">
      <alignment vertical="center"/>
      <protection locked="0"/>
    </xf>
    <xf numFmtId="6" fontId="7" fillId="0" borderId="9" xfId="2" applyFont="1" applyBorder="1" applyAlignment="1" applyProtection="1">
      <alignment horizontal="right" vertical="center"/>
    </xf>
    <xf numFmtId="6" fontId="7" fillId="0" borderId="10" xfId="2" applyFont="1" applyBorder="1" applyAlignment="1" applyProtection="1">
      <alignment horizontal="right" vertical="center"/>
    </xf>
    <xf numFmtId="6" fontId="7" fillId="0" borderId="11" xfId="2" applyFont="1" applyBorder="1" applyAlignment="1" applyProtection="1">
      <alignment horizontal="right" vertical="center"/>
    </xf>
    <xf numFmtId="0" fontId="5" fillId="2" borderId="11" xfId="1" applyFont="1" applyFill="1" applyBorder="1" applyAlignment="1" applyProtection="1">
      <alignment horizontal="center" vertical="center"/>
      <protection locked="0"/>
    </xf>
    <xf numFmtId="6" fontId="7" fillId="0" borderId="9" xfId="1" applyNumberFormat="1" applyFont="1" applyBorder="1" applyAlignment="1">
      <alignment horizontal="right" vertical="center"/>
    </xf>
    <xf numFmtId="6" fontId="7" fillId="0" borderId="10" xfId="1" applyNumberFormat="1" applyFont="1" applyBorder="1" applyAlignment="1">
      <alignment horizontal="right" vertical="center"/>
    </xf>
    <xf numFmtId="6" fontId="7" fillId="0" borderId="11" xfId="1" applyNumberFormat="1" applyFont="1" applyBorder="1" applyAlignment="1">
      <alignment horizontal="right" vertical="center"/>
    </xf>
    <xf numFmtId="6" fontId="7" fillId="0" borderId="9" xfId="2" applyFont="1" applyBorder="1" applyAlignment="1" applyProtection="1">
      <alignment horizontal="center" vertical="center"/>
    </xf>
    <xf numFmtId="6" fontId="7" fillId="0" borderId="10" xfId="2" applyFont="1" applyBorder="1" applyAlignment="1" applyProtection="1">
      <alignment horizontal="center" vertical="center"/>
    </xf>
    <xf numFmtId="6" fontId="7" fillId="0" borderId="11" xfId="2" applyFont="1" applyBorder="1" applyAlignment="1" applyProtection="1">
      <alignment horizontal="center" vertical="center"/>
    </xf>
    <xf numFmtId="0" fontId="7" fillId="0" borderId="9" xfId="3" applyNumberFormat="1" applyFont="1" applyBorder="1" applyAlignment="1" applyProtection="1">
      <alignment horizontal="center" vertical="center"/>
      <protection locked="0"/>
    </xf>
    <xf numFmtId="0" fontId="7" fillId="0" borderId="10" xfId="3" applyNumberFormat="1" applyFont="1" applyBorder="1" applyAlignment="1" applyProtection="1">
      <alignment horizontal="center" vertical="center"/>
      <protection locked="0"/>
    </xf>
    <xf numFmtId="0" fontId="7" fillId="0" borderId="11" xfId="3" applyNumberFormat="1" applyFont="1" applyBorder="1" applyAlignment="1" applyProtection="1">
      <alignment horizontal="center" vertical="center"/>
      <protection locked="0"/>
    </xf>
    <xf numFmtId="0" fontId="7" fillId="0" borderId="9" xfId="1" applyFont="1" applyBorder="1" applyAlignment="1" applyProtection="1">
      <alignment horizontal="center" vertical="center"/>
      <protection locked="0"/>
    </xf>
    <xf numFmtId="0" fontId="7" fillId="0" borderId="11" xfId="1" applyFont="1" applyBorder="1" applyAlignment="1" applyProtection="1">
      <alignment horizontal="center" vertical="center"/>
      <protection locked="0"/>
    </xf>
    <xf numFmtId="0" fontId="7" fillId="0" borderId="9" xfId="1" applyFont="1" applyBorder="1" applyAlignment="1" applyProtection="1">
      <alignment horizontal="left" vertical="center"/>
      <protection locked="0"/>
    </xf>
    <xf numFmtId="0" fontId="7" fillId="0" borderId="10" xfId="1" applyFont="1" applyBorder="1" applyAlignment="1" applyProtection="1">
      <alignment horizontal="left" vertical="center"/>
      <protection locked="0"/>
    </xf>
    <xf numFmtId="0" fontId="7" fillId="0" borderId="11" xfId="1" applyFont="1" applyBorder="1" applyAlignment="1" applyProtection="1">
      <alignment horizontal="left" vertical="center"/>
      <protection locked="0"/>
    </xf>
    <xf numFmtId="0" fontId="7" fillId="0" borderId="12" xfId="1" applyFont="1" applyBorder="1" applyProtection="1">
      <alignment vertical="center"/>
      <protection locked="0"/>
    </xf>
    <xf numFmtId="6" fontId="7" fillId="0" borderId="11" xfId="3" applyNumberFormat="1" applyFont="1" applyBorder="1" applyAlignment="1" applyProtection="1">
      <alignment horizontal="center" vertical="center"/>
      <protection locked="0"/>
    </xf>
    <xf numFmtId="0" fontId="4" fillId="2" borderId="9" xfId="1" applyFont="1" applyFill="1" applyBorder="1" applyAlignment="1" applyProtection="1">
      <alignment horizontal="center" vertical="center"/>
      <protection locked="0"/>
    </xf>
    <xf numFmtId="0" fontId="4" fillId="2" borderId="10" xfId="1" applyFont="1" applyFill="1" applyBorder="1" applyAlignment="1" applyProtection="1">
      <alignment horizontal="center" vertical="center"/>
      <protection locked="0"/>
    </xf>
    <xf numFmtId="0" fontId="4" fillId="2" borderId="11" xfId="1" applyFont="1" applyFill="1" applyBorder="1" applyAlignment="1" applyProtection="1">
      <alignment horizontal="center" vertical="center"/>
      <protection locked="0"/>
    </xf>
    <xf numFmtId="0" fontId="4" fillId="2" borderId="12" xfId="1" applyFont="1" applyFill="1" applyBorder="1" applyAlignment="1" applyProtection="1">
      <alignment horizontal="center" vertical="center"/>
      <protection locked="0"/>
    </xf>
    <xf numFmtId="0" fontId="1" fillId="0" borderId="0" xfId="1" applyProtection="1">
      <alignment vertical="center"/>
      <protection locked="0"/>
    </xf>
    <xf numFmtId="0" fontId="4" fillId="0" borderId="0" xfId="1" applyFont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right" vertical="center"/>
      <protection locked="0"/>
    </xf>
    <xf numFmtId="176" fontId="7" fillId="0" borderId="0" xfId="3" applyNumberFormat="1" applyFont="1" applyBorder="1" applyAlignment="1" applyProtection="1">
      <alignment vertical="center"/>
      <protection locked="0"/>
    </xf>
    <xf numFmtId="176" fontId="7" fillId="0" borderId="13" xfId="3" applyNumberFormat="1" applyFont="1" applyBorder="1" applyAlignment="1" applyProtection="1">
      <alignment vertical="center"/>
      <protection locked="0"/>
    </xf>
    <xf numFmtId="6" fontId="9" fillId="0" borderId="13" xfId="2" applyFont="1" applyBorder="1" applyAlignment="1" applyProtection="1">
      <alignment horizontal="center" vertical="center"/>
    </xf>
    <xf numFmtId="0" fontId="9" fillId="0" borderId="13" xfId="1" applyFont="1" applyBorder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right" vertical="center"/>
      <protection locked="0"/>
    </xf>
    <xf numFmtId="0" fontId="7" fillId="0" borderId="0" xfId="1" applyFont="1" applyAlignment="1" applyProtection="1">
      <alignment horizontal="center" vertical="center"/>
      <protection locked="0"/>
    </xf>
    <xf numFmtId="0" fontId="10" fillId="0" borderId="0" xfId="1" applyFont="1" applyProtection="1">
      <alignment vertical="center"/>
      <protection locked="0"/>
    </xf>
    <xf numFmtId="0" fontId="11" fillId="0" borderId="0" xfId="4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14" xfId="1" applyBorder="1" applyAlignment="1" applyProtection="1">
      <alignment horizontal="left" vertical="center"/>
      <protection locked="0"/>
    </xf>
    <xf numFmtId="0" fontId="0" fillId="0" borderId="14" xfId="1" applyFont="1" applyBorder="1" applyAlignment="1" applyProtection="1">
      <alignment horizontal="left" vertical="center"/>
      <protection locked="0"/>
    </xf>
    <xf numFmtId="0" fontId="7" fillId="0" borderId="14" xfId="1" applyFont="1" applyBorder="1" applyAlignment="1" applyProtection="1">
      <alignment horizontal="left" vertical="center"/>
      <protection locked="0"/>
    </xf>
    <xf numFmtId="14" fontId="7" fillId="0" borderId="14" xfId="1" applyNumberFormat="1" applyFont="1" applyBorder="1" applyAlignment="1" applyProtection="1">
      <alignment horizontal="left" vertical="center"/>
      <protection locked="0"/>
    </xf>
    <xf numFmtId="9" fontId="1" fillId="0" borderId="0" xfId="5" applyFont="1">
      <alignment vertical="center"/>
    </xf>
    <xf numFmtId="0" fontId="1" fillId="0" borderId="0" xfId="1" applyAlignment="1">
      <alignment horizontal="left" vertical="center"/>
    </xf>
    <xf numFmtId="0" fontId="9" fillId="0" borderId="0" xfId="1" applyFont="1" applyProtection="1">
      <alignment vertical="center"/>
      <protection locked="0"/>
    </xf>
    <xf numFmtId="0" fontId="12" fillId="0" borderId="13" xfId="1" applyFont="1" applyBorder="1" applyProtection="1">
      <alignment vertical="center"/>
      <protection locked="0"/>
    </xf>
    <xf numFmtId="0" fontId="4" fillId="0" borderId="13" xfId="1" applyFont="1" applyBorder="1" applyProtection="1">
      <alignment vertical="center"/>
      <protection locked="0"/>
    </xf>
    <xf numFmtId="0" fontId="4" fillId="0" borderId="13" xfId="1" applyFont="1" applyBorder="1" applyAlignment="1" applyProtection="1">
      <alignment horizontal="righ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7" fillId="0" borderId="15" xfId="1" applyFont="1" applyBorder="1" applyAlignment="1" applyProtection="1">
      <alignment horizontal="center" vertical="center"/>
      <protection locked="0"/>
    </xf>
    <xf numFmtId="0" fontId="7" fillId="0" borderId="15" xfId="1" applyFont="1" applyBorder="1" applyProtection="1">
      <alignment vertical="center"/>
      <protection locked="0"/>
    </xf>
    <xf numFmtId="0" fontId="13" fillId="0" borderId="0" xfId="1" applyFont="1" applyAlignment="1" applyProtection="1">
      <alignment horizontal="left" vertical="center"/>
      <protection locked="0"/>
    </xf>
    <xf numFmtId="0" fontId="13" fillId="0" borderId="0" xfId="1" applyFont="1" applyAlignment="1" applyProtection="1">
      <alignment horizontal="left" vertical="center"/>
      <protection locked="0"/>
    </xf>
    <xf numFmtId="0" fontId="14" fillId="0" borderId="14" xfId="1" applyFont="1" applyBorder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horizontal="center" vertical="center"/>
      <protection locked="0"/>
    </xf>
    <xf numFmtId="0" fontId="4" fillId="0" borderId="0" xfId="1" applyFont="1" applyProtection="1">
      <alignment vertical="center"/>
      <protection locked="0"/>
    </xf>
    <xf numFmtId="0" fontId="17" fillId="0" borderId="0" xfId="4" applyFont="1" applyAlignment="1" applyProtection="1">
      <alignment horizontal="left" vertical="center"/>
      <protection locked="0"/>
    </xf>
    <xf numFmtId="0" fontId="4" fillId="0" borderId="0" xfId="1" applyFont="1" applyProtection="1">
      <alignment vertical="center"/>
      <protection locked="0"/>
    </xf>
    <xf numFmtId="0" fontId="11" fillId="0" borderId="0" xfId="4" applyProtection="1">
      <alignment vertical="center"/>
      <protection locked="0"/>
    </xf>
  </cellXfs>
  <cellStyles count="6">
    <cellStyle name="パーセント 2" xfId="5" xr:uid="{113A825A-2997-4360-B1A2-E603D2043ED5}"/>
    <cellStyle name="ハイパーリンク" xfId="4" builtinId="8"/>
    <cellStyle name="桁区切り 2" xfId="3" xr:uid="{B85A4AFF-110D-4A20-8FDD-02220428857F}"/>
    <cellStyle name="通貨 2" xfId="2" xr:uid="{F04A170B-FF3F-4E13-A775-28E46EC38D3B}"/>
    <cellStyle name="標準" xfId="0" builtinId="0"/>
    <cellStyle name="標準 2" xfId="1" xr:uid="{F2B2BB68-0186-48BE-A923-250390B5EC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tel:080-3564-0822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3DC3-4194-47BD-B160-5512914D2432}">
  <sheetPr>
    <pageSetUpPr fitToPage="1"/>
  </sheetPr>
  <dimension ref="A1:T35"/>
  <sheetViews>
    <sheetView showGridLines="0" topLeftCell="A28" workbookViewId="0">
      <selection activeCell="R38" sqref="R38"/>
    </sheetView>
  </sheetViews>
  <sheetFormatPr defaultColWidth="5.69921875" defaultRowHeight="30" customHeight="1" x14ac:dyDescent="0.45"/>
  <cols>
    <col min="1" max="16384" width="5.69921875" style="1"/>
  </cols>
  <sheetData>
    <row r="1" spans="1:20" ht="30" customHeight="1" x14ac:dyDescent="0.45">
      <c r="A1" s="77" t="s">
        <v>20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</row>
    <row r="2" spans="1:20" ht="10.050000000000001" customHeight="1" x14ac:dyDescent="0.4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</row>
    <row r="3" spans="1:20" ht="30" customHeight="1" x14ac:dyDescent="0.45">
      <c r="A3" s="76"/>
      <c r="B3" s="76"/>
      <c r="C3" s="76"/>
      <c r="D3" s="76"/>
      <c r="E3" s="76"/>
      <c r="F3" s="76"/>
      <c r="G3" s="76"/>
      <c r="H3" s="75" t="s">
        <v>19</v>
      </c>
      <c r="I3" s="75"/>
      <c r="J3" s="74"/>
      <c r="K3" s="49"/>
      <c r="L3" s="18"/>
      <c r="M3" s="18"/>
      <c r="N3" s="51"/>
      <c r="O3" s="51"/>
      <c r="P3" s="51"/>
      <c r="Q3" s="51"/>
    </row>
    <row r="4" spans="1:20" ht="30" customHeight="1" x14ac:dyDescent="0.45">
      <c r="A4" s="49"/>
      <c r="B4" s="73"/>
      <c r="C4" s="73"/>
      <c r="D4" s="72"/>
      <c r="E4" s="72"/>
      <c r="F4" s="72"/>
      <c r="G4" s="17"/>
      <c r="H4" s="49"/>
      <c r="I4" s="49"/>
      <c r="J4" s="49"/>
      <c r="K4" s="49"/>
      <c r="L4" s="71" t="s">
        <v>22</v>
      </c>
      <c r="M4" s="71"/>
      <c r="N4" s="71"/>
      <c r="O4" s="71"/>
      <c r="P4" s="71"/>
      <c r="Q4" s="71"/>
    </row>
    <row r="5" spans="1:20" ht="10.050000000000001" customHeight="1" x14ac:dyDescent="0.4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</row>
    <row r="6" spans="1:20" ht="25.05" customHeight="1" thickBot="1" x14ac:dyDescent="0.5">
      <c r="A6" s="70" t="s">
        <v>18</v>
      </c>
      <c r="B6" s="70"/>
      <c r="C6" s="69"/>
      <c r="D6" s="68"/>
      <c r="E6" s="68"/>
      <c r="F6" s="68"/>
      <c r="G6" s="68"/>
      <c r="H6" s="68"/>
      <c r="I6" s="68"/>
      <c r="J6" s="67"/>
      <c r="K6" s="49"/>
      <c r="L6" s="66" t="s">
        <v>17</v>
      </c>
      <c r="M6" s="66"/>
      <c r="N6" s="66"/>
      <c r="O6" s="17"/>
      <c r="P6" s="17"/>
      <c r="Q6" s="17"/>
      <c r="T6" s="65"/>
    </row>
    <row r="7" spans="1:20" ht="19.95" customHeight="1" thickTop="1" x14ac:dyDescent="0.45">
      <c r="A7" s="49"/>
      <c r="B7" s="18" t="s">
        <v>27</v>
      </c>
      <c r="C7" s="18"/>
      <c r="D7" s="18"/>
      <c r="E7" s="18"/>
      <c r="F7" s="18"/>
      <c r="G7" s="18"/>
      <c r="H7" s="18"/>
      <c r="I7" s="18"/>
      <c r="J7" s="18"/>
      <c r="K7" s="18"/>
      <c r="L7" s="24"/>
      <c r="M7" s="24"/>
      <c r="N7" s="24"/>
      <c r="O7" s="24"/>
      <c r="P7" s="24"/>
      <c r="Q7" s="24"/>
    </row>
    <row r="8" spans="1:20" ht="19.95" customHeight="1" x14ac:dyDescent="0.45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24"/>
      <c r="M8" s="24"/>
      <c r="N8" s="24"/>
      <c r="O8" s="24"/>
      <c r="P8" s="24"/>
      <c r="Q8" s="24"/>
    </row>
    <row r="9" spans="1:20" ht="19.95" customHeight="1" x14ac:dyDescent="0.45">
      <c r="A9" s="51" t="s">
        <v>16</v>
      </c>
      <c r="B9" s="51"/>
      <c r="C9" s="64" t="s">
        <v>15</v>
      </c>
      <c r="D9" s="63"/>
      <c r="E9" s="63"/>
      <c r="F9" s="63"/>
      <c r="G9" s="63"/>
      <c r="H9" s="63"/>
      <c r="I9" s="63"/>
      <c r="J9" s="49"/>
      <c r="K9" s="49"/>
      <c r="L9" s="24"/>
      <c r="M9" s="24"/>
      <c r="N9" s="24"/>
      <c r="O9" s="24"/>
      <c r="P9" s="24"/>
      <c r="Q9" s="24"/>
    </row>
    <row r="10" spans="1:20" ht="19.95" customHeight="1" x14ac:dyDescent="0.45">
      <c r="A10" s="51" t="s">
        <v>14</v>
      </c>
      <c r="B10" s="51"/>
      <c r="C10" s="62" t="s">
        <v>13</v>
      </c>
      <c r="D10" s="61"/>
      <c r="E10" s="61"/>
      <c r="F10" s="61"/>
      <c r="G10" s="61"/>
      <c r="H10" s="61"/>
      <c r="I10" s="61"/>
      <c r="J10" s="60"/>
      <c r="K10" s="49"/>
      <c r="L10" s="59"/>
      <c r="M10" s="59"/>
      <c r="N10" s="59"/>
      <c r="O10" s="59"/>
      <c r="P10" s="17"/>
      <c r="Q10" s="17"/>
    </row>
    <row r="11" spans="1:20" ht="19.95" customHeight="1" x14ac:dyDescent="0.45">
      <c r="A11" s="49"/>
      <c r="B11" s="49"/>
      <c r="C11" s="49"/>
      <c r="D11" s="49"/>
      <c r="E11" s="49"/>
      <c r="F11" s="49"/>
      <c r="G11" s="49" t="s">
        <v>12</v>
      </c>
      <c r="H11" s="49"/>
      <c r="I11" s="49"/>
      <c r="J11" s="58"/>
      <c r="K11" s="49"/>
      <c r="L11" s="57"/>
      <c r="M11" s="57"/>
      <c r="N11" s="57"/>
      <c r="O11" s="17"/>
      <c r="P11" s="56" t="s">
        <v>11</v>
      </c>
      <c r="Q11" s="17"/>
    </row>
    <row r="12" spans="1:20" ht="10.050000000000001" customHeight="1" x14ac:dyDescent="0.4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56"/>
      <c r="M12" s="17"/>
      <c r="N12" s="17"/>
      <c r="O12" s="17"/>
      <c r="P12" s="17"/>
      <c r="Q12" s="17"/>
    </row>
    <row r="13" spans="1:20" ht="30" customHeight="1" thickBot="1" x14ac:dyDescent="0.5">
      <c r="A13" s="55" t="s">
        <v>10</v>
      </c>
      <c r="B13" s="55"/>
      <c r="C13" s="55"/>
      <c r="D13" s="54">
        <f>L30</f>
        <v>0</v>
      </c>
      <c r="E13" s="54"/>
      <c r="F13" s="54"/>
      <c r="G13" s="54"/>
      <c r="H13" s="53" t="s">
        <v>9</v>
      </c>
      <c r="I13" s="53"/>
      <c r="J13" s="52"/>
      <c r="K13" s="51"/>
      <c r="L13" s="51"/>
      <c r="M13" s="50"/>
      <c r="N13" s="50"/>
      <c r="O13" s="50"/>
      <c r="P13" s="50"/>
      <c r="Q13" s="50"/>
    </row>
    <row r="14" spans="1:20" ht="10.050000000000001" customHeight="1" thickTop="1" x14ac:dyDescent="0.4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</row>
    <row r="15" spans="1:20" ht="25.05" customHeight="1" x14ac:dyDescent="0.45">
      <c r="A15" s="48" t="s">
        <v>8</v>
      </c>
      <c r="B15" s="47" t="s">
        <v>7</v>
      </c>
      <c r="C15" s="46"/>
      <c r="D15" s="46"/>
      <c r="E15" s="46"/>
      <c r="F15" s="46"/>
      <c r="G15" s="46"/>
      <c r="H15" s="46"/>
      <c r="I15" s="45"/>
      <c r="J15" s="47" t="s">
        <v>6</v>
      </c>
      <c r="K15" s="45"/>
      <c r="L15" s="47" t="s">
        <v>5</v>
      </c>
      <c r="M15" s="46"/>
      <c r="N15" s="45"/>
      <c r="O15" s="47" t="s">
        <v>4</v>
      </c>
      <c r="P15" s="46"/>
      <c r="Q15" s="45"/>
    </row>
    <row r="16" spans="1:20" ht="19.95" customHeight="1" x14ac:dyDescent="0.45">
      <c r="A16" s="43">
        <v>1</v>
      </c>
      <c r="B16" s="42"/>
      <c r="C16" s="41"/>
      <c r="D16" s="41"/>
      <c r="E16" s="41"/>
      <c r="F16" s="41"/>
      <c r="G16" s="41"/>
      <c r="H16" s="41"/>
      <c r="I16" s="40"/>
      <c r="J16" s="39"/>
      <c r="K16" s="38"/>
      <c r="L16" s="44"/>
      <c r="M16" s="36"/>
      <c r="N16" s="35"/>
      <c r="O16" s="34"/>
      <c r="P16" s="33"/>
      <c r="Q16" s="32"/>
    </row>
    <row r="17" spans="1:17" ht="19.95" customHeight="1" x14ac:dyDescent="0.45">
      <c r="A17" s="43"/>
      <c r="B17" s="42"/>
      <c r="C17" s="41"/>
      <c r="D17" s="41"/>
      <c r="E17" s="41"/>
      <c r="F17" s="41"/>
      <c r="G17" s="41"/>
      <c r="H17" s="41"/>
      <c r="I17" s="40"/>
      <c r="J17" s="39"/>
      <c r="K17" s="38"/>
      <c r="L17" s="37"/>
      <c r="M17" s="36"/>
      <c r="N17" s="35"/>
      <c r="O17" s="34"/>
      <c r="P17" s="33"/>
      <c r="Q17" s="32"/>
    </row>
    <row r="18" spans="1:17" ht="19.95" customHeight="1" x14ac:dyDescent="0.45">
      <c r="A18" s="43"/>
      <c r="B18" s="42"/>
      <c r="C18" s="41"/>
      <c r="D18" s="41"/>
      <c r="E18" s="41"/>
      <c r="F18" s="41"/>
      <c r="G18" s="41"/>
      <c r="H18" s="41"/>
      <c r="I18" s="40"/>
      <c r="J18" s="39"/>
      <c r="K18" s="38"/>
      <c r="L18" s="37"/>
      <c r="M18" s="36"/>
      <c r="N18" s="35"/>
      <c r="O18" s="34"/>
      <c r="P18" s="33"/>
      <c r="Q18" s="32"/>
    </row>
    <row r="19" spans="1:17" ht="19.95" customHeight="1" x14ac:dyDescent="0.45">
      <c r="A19" s="43"/>
      <c r="B19" s="42"/>
      <c r="C19" s="41"/>
      <c r="D19" s="41"/>
      <c r="E19" s="41"/>
      <c r="F19" s="41"/>
      <c r="G19" s="41"/>
      <c r="H19" s="41"/>
      <c r="I19" s="40"/>
      <c r="J19" s="39"/>
      <c r="K19" s="38"/>
      <c r="L19" s="37"/>
      <c r="M19" s="36"/>
      <c r="N19" s="35"/>
      <c r="O19" s="34"/>
      <c r="P19" s="33"/>
      <c r="Q19" s="32"/>
    </row>
    <row r="20" spans="1:17" ht="19.95" customHeight="1" x14ac:dyDescent="0.45">
      <c r="A20" s="43"/>
      <c r="B20" s="42"/>
      <c r="C20" s="41"/>
      <c r="D20" s="41"/>
      <c r="E20" s="41"/>
      <c r="F20" s="41"/>
      <c r="G20" s="41"/>
      <c r="H20" s="41"/>
      <c r="I20" s="40"/>
      <c r="J20" s="39"/>
      <c r="K20" s="38"/>
      <c r="L20" s="37"/>
      <c r="M20" s="36"/>
      <c r="N20" s="35"/>
      <c r="O20" s="34"/>
      <c r="P20" s="33"/>
      <c r="Q20" s="32"/>
    </row>
    <row r="21" spans="1:17" ht="19.95" customHeight="1" x14ac:dyDescent="0.45">
      <c r="A21" s="43"/>
      <c r="B21" s="42"/>
      <c r="C21" s="41"/>
      <c r="D21" s="41"/>
      <c r="E21" s="41"/>
      <c r="F21" s="41"/>
      <c r="G21" s="41"/>
      <c r="H21" s="41"/>
      <c r="I21" s="40"/>
      <c r="J21" s="39"/>
      <c r="K21" s="38"/>
      <c r="L21" s="37"/>
      <c r="M21" s="36"/>
      <c r="N21" s="35"/>
      <c r="O21" s="34"/>
      <c r="P21" s="33"/>
      <c r="Q21" s="32"/>
    </row>
    <row r="22" spans="1:17" ht="19.95" customHeight="1" x14ac:dyDescent="0.45">
      <c r="A22" s="43"/>
      <c r="B22" s="42"/>
      <c r="C22" s="41"/>
      <c r="D22" s="41"/>
      <c r="E22" s="41"/>
      <c r="F22" s="41"/>
      <c r="G22" s="41"/>
      <c r="H22" s="41"/>
      <c r="I22" s="40"/>
      <c r="J22" s="39"/>
      <c r="K22" s="38"/>
      <c r="L22" s="37"/>
      <c r="M22" s="36"/>
      <c r="N22" s="35"/>
      <c r="O22" s="34"/>
      <c r="P22" s="33"/>
      <c r="Q22" s="32"/>
    </row>
    <row r="23" spans="1:17" ht="19.95" customHeight="1" x14ac:dyDescent="0.45">
      <c r="A23" s="43"/>
      <c r="B23" s="42"/>
      <c r="C23" s="41"/>
      <c r="D23" s="41"/>
      <c r="E23" s="41"/>
      <c r="F23" s="41"/>
      <c r="G23" s="41"/>
      <c r="H23" s="41"/>
      <c r="I23" s="40"/>
      <c r="J23" s="39"/>
      <c r="K23" s="38"/>
      <c r="L23" s="37"/>
      <c r="M23" s="36"/>
      <c r="N23" s="35"/>
      <c r="O23" s="34"/>
      <c r="P23" s="33"/>
      <c r="Q23" s="32"/>
    </row>
    <row r="24" spans="1:17" ht="19.95" customHeight="1" x14ac:dyDescent="0.45">
      <c r="A24" s="43"/>
      <c r="B24" s="42"/>
      <c r="C24" s="41"/>
      <c r="D24" s="41"/>
      <c r="E24" s="41"/>
      <c r="F24" s="41"/>
      <c r="G24" s="41"/>
      <c r="H24" s="41"/>
      <c r="I24" s="40"/>
      <c r="J24" s="39"/>
      <c r="K24" s="38"/>
      <c r="L24" s="37"/>
      <c r="M24" s="36"/>
      <c r="N24" s="35"/>
      <c r="O24" s="34"/>
      <c r="P24" s="33"/>
      <c r="Q24" s="32"/>
    </row>
    <row r="25" spans="1:17" ht="19.95" customHeight="1" x14ac:dyDescent="0.45">
      <c r="A25" s="43"/>
      <c r="B25" s="42"/>
      <c r="C25" s="41"/>
      <c r="D25" s="41"/>
      <c r="E25" s="41"/>
      <c r="F25" s="41"/>
      <c r="G25" s="41"/>
      <c r="H25" s="41"/>
      <c r="I25" s="40"/>
      <c r="J25" s="39"/>
      <c r="K25" s="38"/>
      <c r="L25" s="37"/>
      <c r="M25" s="36"/>
      <c r="N25" s="35"/>
      <c r="O25" s="34"/>
      <c r="P25" s="33"/>
      <c r="Q25" s="32"/>
    </row>
    <row r="26" spans="1:17" ht="19.95" customHeight="1" x14ac:dyDescent="0.45">
      <c r="A26" s="43"/>
      <c r="B26" s="42"/>
      <c r="C26" s="41"/>
      <c r="D26" s="41"/>
      <c r="E26" s="41"/>
      <c r="F26" s="41"/>
      <c r="G26" s="41"/>
      <c r="H26" s="41"/>
      <c r="I26" s="40"/>
      <c r="J26" s="39"/>
      <c r="K26" s="38"/>
      <c r="L26" s="37"/>
      <c r="M26" s="36"/>
      <c r="N26" s="35"/>
      <c r="O26" s="34"/>
      <c r="P26" s="33"/>
      <c r="Q26" s="32"/>
    </row>
    <row r="27" spans="1:17" ht="19.95" customHeight="1" x14ac:dyDescent="0.45">
      <c r="A27" s="43"/>
      <c r="B27" s="42"/>
      <c r="C27" s="41"/>
      <c r="D27" s="41"/>
      <c r="E27" s="41"/>
      <c r="F27" s="41"/>
      <c r="G27" s="41"/>
      <c r="H27" s="41"/>
      <c r="I27" s="40"/>
      <c r="J27" s="39"/>
      <c r="K27" s="38"/>
      <c r="L27" s="37"/>
      <c r="M27" s="36"/>
      <c r="N27" s="35"/>
      <c r="O27" s="34"/>
      <c r="P27" s="33"/>
      <c r="Q27" s="32"/>
    </row>
    <row r="28" spans="1:17" ht="19.95" customHeight="1" x14ac:dyDescent="0.4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23" t="s">
        <v>3</v>
      </c>
      <c r="L28" s="31">
        <f>SUM(O16:Q27)</f>
        <v>0</v>
      </c>
      <c r="M28" s="30"/>
      <c r="N28" s="30"/>
      <c r="O28" s="30"/>
      <c r="P28" s="30"/>
      <c r="Q28" s="29"/>
    </row>
    <row r="29" spans="1:17" ht="19.95" customHeight="1" x14ac:dyDescent="0.4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28" t="s">
        <v>2</v>
      </c>
      <c r="L29" s="27">
        <f>L28*10%</f>
        <v>0</v>
      </c>
      <c r="M29" s="26"/>
      <c r="N29" s="26"/>
      <c r="O29" s="26"/>
      <c r="P29" s="26"/>
      <c r="Q29" s="25"/>
    </row>
    <row r="30" spans="1:17" ht="19.95" customHeight="1" x14ac:dyDescent="0.45">
      <c r="A30" s="17"/>
      <c r="B30" s="24"/>
      <c r="C30" s="24"/>
      <c r="D30" s="24"/>
      <c r="E30" s="24"/>
      <c r="F30" s="24"/>
      <c r="G30" s="17"/>
      <c r="H30" s="17"/>
      <c r="I30" s="17"/>
      <c r="J30" s="17"/>
      <c r="K30" s="23" t="s">
        <v>1</v>
      </c>
      <c r="L30" s="22">
        <f>L28+L29</f>
        <v>0</v>
      </c>
      <c r="M30" s="21"/>
      <c r="N30" s="21"/>
      <c r="O30" s="21"/>
      <c r="P30" s="21"/>
      <c r="Q30" s="20"/>
    </row>
    <row r="31" spans="1:17" ht="19.95" customHeight="1" x14ac:dyDescent="0.45">
      <c r="A31" s="17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</row>
    <row r="32" spans="1:17" ht="19.95" customHeight="1" thickBot="1" x14ac:dyDescent="0.5">
      <c r="A32" s="17"/>
      <c r="B32" s="18"/>
      <c r="C32" s="18"/>
      <c r="D32" s="18"/>
      <c r="E32" s="18"/>
      <c r="F32" s="18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</row>
    <row r="33" spans="1:17" ht="19.95" customHeight="1" x14ac:dyDescent="0.45">
      <c r="A33" s="16" t="s">
        <v>0</v>
      </c>
      <c r="B33" s="15"/>
      <c r="C33" s="14" t="s">
        <v>36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2"/>
    </row>
    <row r="34" spans="1:17" ht="19.95" customHeight="1" x14ac:dyDescent="0.45">
      <c r="A34" s="11"/>
      <c r="B34" s="10"/>
      <c r="C34" s="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7"/>
    </row>
    <row r="35" spans="1:17" ht="19.95" customHeight="1" thickBot="1" x14ac:dyDescent="0.5">
      <c r="A35" s="6"/>
      <c r="B35" s="5"/>
      <c r="C35" s="4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2"/>
    </row>
  </sheetData>
  <mergeCells count="85">
    <mergeCell ref="C6:I6"/>
    <mergeCell ref="L6:N6"/>
    <mergeCell ref="B7:K7"/>
    <mergeCell ref="L7:Q7"/>
    <mergeCell ref="L8:Q8"/>
    <mergeCell ref="A1:Q1"/>
    <mergeCell ref="A3:G3"/>
    <mergeCell ref="H3:I3"/>
    <mergeCell ref="L3:M3"/>
    <mergeCell ref="N3:Q3"/>
    <mergeCell ref="B4:C4"/>
    <mergeCell ref="D4:F4"/>
    <mergeCell ref="L4:Q4"/>
    <mergeCell ref="A6:B6"/>
    <mergeCell ref="A9:B9"/>
    <mergeCell ref="C9:I9"/>
    <mergeCell ref="L9:Q9"/>
    <mergeCell ref="A10:B10"/>
    <mergeCell ref="C10:I10"/>
    <mergeCell ref="L10:O10"/>
    <mergeCell ref="L11:N11"/>
    <mergeCell ref="A13:C13"/>
    <mergeCell ref="D13:G13"/>
    <mergeCell ref="H13:I13"/>
    <mergeCell ref="K13:L13"/>
    <mergeCell ref="M13:Q13"/>
    <mergeCell ref="B15:I15"/>
    <mergeCell ref="J15:K15"/>
    <mergeCell ref="L15:N15"/>
    <mergeCell ref="O15:Q15"/>
    <mergeCell ref="B16:I16"/>
    <mergeCell ref="J16:K16"/>
    <mergeCell ref="L16:N16"/>
    <mergeCell ref="O16:Q16"/>
    <mergeCell ref="B17:I17"/>
    <mergeCell ref="J17:K17"/>
    <mergeCell ref="L17:N17"/>
    <mergeCell ref="O17:Q17"/>
    <mergeCell ref="B18:I18"/>
    <mergeCell ref="J18:K18"/>
    <mergeCell ref="L18:N18"/>
    <mergeCell ref="O18:Q18"/>
    <mergeCell ref="O22:Q22"/>
    <mergeCell ref="B19:I19"/>
    <mergeCell ref="J19:K19"/>
    <mergeCell ref="L19:N19"/>
    <mergeCell ref="O19:Q19"/>
    <mergeCell ref="B20:I20"/>
    <mergeCell ref="J20:K20"/>
    <mergeCell ref="L20:N20"/>
    <mergeCell ref="O20:Q20"/>
    <mergeCell ref="J24:K24"/>
    <mergeCell ref="L24:N24"/>
    <mergeCell ref="O24:Q24"/>
    <mergeCell ref="B21:I21"/>
    <mergeCell ref="J21:K21"/>
    <mergeCell ref="L21:N21"/>
    <mergeCell ref="O21:Q21"/>
    <mergeCell ref="B22:I22"/>
    <mergeCell ref="J22:K22"/>
    <mergeCell ref="L22:N22"/>
    <mergeCell ref="B27:I27"/>
    <mergeCell ref="J27:K27"/>
    <mergeCell ref="L27:N27"/>
    <mergeCell ref="O27:Q27"/>
    <mergeCell ref="L28:Q28"/>
    <mergeCell ref="B23:I23"/>
    <mergeCell ref="J23:K23"/>
    <mergeCell ref="L23:N23"/>
    <mergeCell ref="O23:Q23"/>
    <mergeCell ref="B24:I24"/>
    <mergeCell ref="B25:I25"/>
    <mergeCell ref="J25:K25"/>
    <mergeCell ref="L25:N25"/>
    <mergeCell ref="O25:Q25"/>
    <mergeCell ref="B26:I26"/>
    <mergeCell ref="J26:K26"/>
    <mergeCell ref="L26:N26"/>
    <mergeCell ref="O26:Q26"/>
    <mergeCell ref="B30:F30"/>
    <mergeCell ref="L30:Q30"/>
    <mergeCell ref="B32:F32"/>
    <mergeCell ref="A33:B35"/>
    <mergeCell ref="C33:Q35"/>
    <mergeCell ref="L29:Q29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94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ACEB5-FB43-4AE4-B9EC-A984C7A3925D}">
  <sheetPr>
    <pageSetUpPr fitToPage="1"/>
  </sheetPr>
  <dimension ref="A1:T35"/>
  <sheetViews>
    <sheetView showGridLines="0" tabSelected="1" workbookViewId="0">
      <selection activeCell="C33" sqref="C33:Q35"/>
    </sheetView>
  </sheetViews>
  <sheetFormatPr defaultColWidth="5.69921875" defaultRowHeight="30" customHeight="1" x14ac:dyDescent="0.45"/>
  <cols>
    <col min="1" max="16384" width="5.69921875" style="1"/>
  </cols>
  <sheetData>
    <row r="1" spans="1:20" ht="30" customHeight="1" x14ac:dyDescent="0.45">
      <c r="A1" s="77" t="s">
        <v>20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</row>
    <row r="2" spans="1:20" ht="10.050000000000001" customHeight="1" x14ac:dyDescent="0.4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</row>
    <row r="3" spans="1:20" ht="30" customHeight="1" x14ac:dyDescent="0.45">
      <c r="A3" s="76" t="s">
        <v>21</v>
      </c>
      <c r="B3" s="76"/>
      <c r="C3" s="76"/>
      <c r="D3" s="76"/>
      <c r="E3" s="76"/>
      <c r="F3" s="76"/>
      <c r="G3" s="76"/>
      <c r="H3" s="75" t="s">
        <v>19</v>
      </c>
      <c r="I3" s="75"/>
      <c r="J3" s="74"/>
      <c r="K3" s="49"/>
      <c r="L3" s="18"/>
      <c r="M3" s="18"/>
      <c r="N3" s="51"/>
      <c r="O3" s="51"/>
      <c r="P3" s="51"/>
      <c r="Q3" s="51"/>
    </row>
    <row r="4" spans="1:20" ht="30" customHeight="1" x14ac:dyDescent="0.45">
      <c r="A4" s="49"/>
      <c r="B4" s="73"/>
      <c r="C4" s="73"/>
      <c r="D4" s="72"/>
      <c r="E4" s="72"/>
      <c r="F4" s="72"/>
      <c r="G4" s="17"/>
      <c r="H4" s="49"/>
      <c r="I4" s="49"/>
      <c r="J4" s="49"/>
      <c r="K4" s="49"/>
      <c r="L4" s="71" t="s">
        <v>23</v>
      </c>
      <c r="M4" s="71"/>
      <c r="N4" s="71"/>
      <c r="O4" s="71"/>
      <c r="P4" s="71"/>
      <c r="Q4" s="71"/>
    </row>
    <row r="5" spans="1:20" ht="10.050000000000001" customHeight="1" x14ac:dyDescent="0.4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</row>
    <row r="6" spans="1:20" ht="25.05" customHeight="1" thickBot="1" x14ac:dyDescent="0.5">
      <c r="A6" s="70" t="s">
        <v>18</v>
      </c>
      <c r="B6" s="70"/>
      <c r="C6" s="69" t="s">
        <v>25</v>
      </c>
      <c r="D6" s="68"/>
      <c r="E6" s="68"/>
      <c r="F6" s="68"/>
      <c r="G6" s="68"/>
      <c r="H6" s="68"/>
      <c r="I6" s="68"/>
      <c r="J6" s="67"/>
      <c r="K6" s="49"/>
      <c r="L6" s="66" t="s">
        <v>28</v>
      </c>
      <c r="M6" s="66"/>
      <c r="N6" s="66"/>
      <c r="O6" s="17"/>
      <c r="P6" s="17"/>
      <c r="Q6" s="17"/>
      <c r="T6" s="65"/>
    </row>
    <row r="7" spans="1:20" ht="19.95" customHeight="1" thickTop="1" x14ac:dyDescent="0.45">
      <c r="A7" s="49"/>
      <c r="B7" s="18" t="s">
        <v>27</v>
      </c>
      <c r="C7" s="18"/>
      <c r="D7" s="18"/>
      <c r="E7" s="18"/>
      <c r="F7" s="18"/>
      <c r="G7" s="18"/>
      <c r="H7" s="18"/>
      <c r="I7" s="18"/>
      <c r="J7" s="18"/>
      <c r="K7" s="18"/>
      <c r="L7" s="24" t="s">
        <v>29</v>
      </c>
      <c r="M7" s="24"/>
      <c r="N7" s="24"/>
      <c r="O7" s="24"/>
      <c r="P7" s="24"/>
      <c r="Q7" s="24"/>
    </row>
    <row r="8" spans="1:20" ht="19.95" customHeight="1" x14ac:dyDescent="0.45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81" t="s">
        <v>32</v>
      </c>
      <c r="M8" s="24"/>
      <c r="N8" s="24"/>
      <c r="O8" s="24"/>
      <c r="P8" s="24"/>
      <c r="Q8" s="24"/>
    </row>
    <row r="9" spans="1:20" ht="19.95" customHeight="1" x14ac:dyDescent="0.45">
      <c r="A9" s="51" t="s">
        <v>16</v>
      </c>
      <c r="B9" s="51"/>
      <c r="C9" s="64" t="s">
        <v>24</v>
      </c>
      <c r="D9" s="63"/>
      <c r="E9" s="63"/>
      <c r="F9" s="63"/>
      <c r="G9" s="63"/>
      <c r="H9" s="63"/>
      <c r="I9" s="63"/>
      <c r="J9" s="49"/>
      <c r="K9" s="49"/>
      <c r="L9" s="78" t="s">
        <v>30</v>
      </c>
      <c r="M9" s="78"/>
      <c r="N9" s="78"/>
      <c r="O9" s="78"/>
      <c r="P9" s="78"/>
      <c r="Q9" s="78"/>
    </row>
    <row r="10" spans="1:20" ht="19.95" customHeight="1" x14ac:dyDescent="0.45">
      <c r="A10" s="51" t="s">
        <v>14</v>
      </c>
      <c r="B10" s="51"/>
      <c r="C10" s="62" t="s">
        <v>26</v>
      </c>
      <c r="D10" s="61"/>
      <c r="E10" s="61"/>
      <c r="F10" s="61"/>
      <c r="G10" s="61"/>
      <c r="H10" s="61"/>
      <c r="I10" s="61"/>
      <c r="J10" s="60"/>
      <c r="K10" s="49"/>
      <c r="L10" s="79" t="s">
        <v>31</v>
      </c>
      <c r="M10" s="79"/>
      <c r="N10" s="79"/>
      <c r="O10" s="79"/>
      <c r="P10" s="79"/>
      <c r="Q10" s="80"/>
    </row>
    <row r="11" spans="1:20" ht="19.95" customHeight="1" x14ac:dyDescent="0.45">
      <c r="A11" s="49"/>
      <c r="B11" s="49"/>
      <c r="C11" s="49"/>
      <c r="D11" s="49"/>
      <c r="E11" s="49"/>
      <c r="F11" s="49"/>
      <c r="G11" s="49" t="s">
        <v>12</v>
      </c>
      <c r="H11" s="49"/>
      <c r="I11" s="49"/>
      <c r="J11" s="58"/>
      <c r="K11" s="49"/>
      <c r="L11" s="57"/>
      <c r="M11" s="57"/>
      <c r="N11" s="57"/>
      <c r="O11" s="57"/>
      <c r="P11" s="56" t="s">
        <v>11</v>
      </c>
      <c r="Q11" s="17"/>
    </row>
    <row r="12" spans="1:20" ht="10.050000000000001" customHeight="1" x14ac:dyDescent="0.4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56"/>
      <c r="M12" s="17"/>
      <c r="N12" s="17"/>
      <c r="O12" s="17"/>
      <c r="P12" s="17"/>
      <c r="Q12" s="17"/>
    </row>
    <row r="13" spans="1:20" ht="30" customHeight="1" thickBot="1" x14ac:dyDescent="0.5">
      <c r="A13" s="55" t="s">
        <v>10</v>
      </c>
      <c r="B13" s="55"/>
      <c r="C13" s="55"/>
      <c r="D13" s="54">
        <f>L30</f>
        <v>220000</v>
      </c>
      <c r="E13" s="54"/>
      <c r="F13" s="54"/>
      <c r="G13" s="54"/>
      <c r="H13" s="53" t="s">
        <v>9</v>
      </c>
      <c r="I13" s="53"/>
      <c r="J13" s="52"/>
      <c r="K13" s="51"/>
      <c r="L13" s="51"/>
      <c r="M13" s="50"/>
      <c r="N13" s="50"/>
      <c r="O13" s="50"/>
      <c r="P13" s="50"/>
      <c r="Q13" s="50"/>
    </row>
    <row r="14" spans="1:20" ht="10.050000000000001" customHeight="1" thickTop="1" x14ac:dyDescent="0.4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</row>
    <row r="15" spans="1:20" ht="25.05" customHeight="1" x14ac:dyDescent="0.45">
      <c r="A15" s="48" t="s">
        <v>8</v>
      </c>
      <c r="B15" s="47" t="s">
        <v>7</v>
      </c>
      <c r="C15" s="46"/>
      <c r="D15" s="46"/>
      <c r="E15" s="46"/>
      <c r="F15" s="46"/>
      <c r="G15" s="46"/>
      <c r="H15" s="46"/>
      <c r="I15" s="45"/>
      <c r="J15" s="47" t="s">
        <v>6</v>
      </c>
      <c r="K15" s="45"/>
      <c r="L15" s="47" t="s">
        <v>5</v>
      </c>
      <c r="M15" s="46"/>
      <c r="N15" s="45"/>
      <c r="O15" s="47" t="s">
        <v>4</v>
      </c>
      <c r="P15" s="46"/>
      <c r="Q15" s="45"/>
    </row>
    <row r="16" spans="1:20" ht="19.95" customHeight="1" x14ac:dyDescent="0.45">
      <c r="A16" s="43">
        <v>1</v>
      </c>
      <c r="B16" s="42" t="s">
        <v>33</v>
      </c>
      <c r="C16" s="41"/>
      <c r="D16" s="41"/>
      <c r="E16" s="41"/>
      <c r="F16" s="41"/>
      <c r="G16" s="41"/>
      <c r="H16" s="41"/>
      <c r="I16" s="40"/>
      <c r="J16" s="39">
        <v>1</v>
      </c>
      <c r="K16" s="38"/>
      <c r="L16" s="44" t="s">
        <v>34</v>
      </c>
      <c r="M16" s="36"/>
      <c r="N16" s="35"/>
      <c r="O16" s="34">
        <v>200000</v>
      </c>
      <c r="P16" s="33"/>
      <c r="Q16" s="32"/>
    </row>
    <row r="17" spans="1:17" ht="19.95" customHeight="1" x14ac:dyDescent="0.45">
      <c r="A17" s="43"/>
      <c r="B17" s="42"/>
      <c r="C17" s="41"/>
      <c r="D17" s="41"/>
      <c r="E17" s="41"/>
      <c r="F17" s="41"/>
      <c r="G17" s="41"/>
      <c r="H17" s="41"/>
      <c r="I17" s="40"/>
      <c r="J17" s="39"/>
      <c r="K17" s="38"/>
      <c r="L17" s="37"/>
      <c r="M17" s="36"/>
      <c r="N17" s="35"/>
      <c r="O17" s="34"/>
      <c r="P17" s="33"/>
      <c r="Q17" s="32"/>
    </row>
    <row r="18" spans="1:17" ht="19.95" customHeight="1" x14ac:dyDescent="0.45">
      <c r="A18" s="43"/>
      <c r="B18" s="42"/>
      <c r="C18" s="41"/>
      <c r="D18" s="41"/>
      <c r="E18" s="41"/>
      <c r="F18" s="41"/>
      <c r="G18" s="41"/>
      <c r="H18" s="41"/>
      <c r="I18" s="40"/>
      <c r="J18" s="39"/>
      <c r="K18" s="38"/>
      <c r="L18" s="37"/>
      <c r="M18" s="36"/>
      <c r="N18" s="35"/>
      <c r="O18" s="34"/>
      <c r="P18" s="33"/>
      <c r="Q18" s="32"/>
    </row>
    <row r="19" spans="1:17" ht="19.95" customHeight="1" x14ac:dyDescent="0.45">
      <c r="A19" s="43"/>
      <c r="B19" s="42"/>
      <c r="C19" s="41"/>
      <c r="D19" s="41"/>
      <c r="E19" s="41"/>
      <c r="F19" s="41"/>
      <c r="G19" s="41"/>
      <c r="H19" s="41"/>
      <c r="I19" s="40"/>
      <c r="J19" s="39"/>
      <c r="K19" s="38"/>
      <c r="L19" s="37"/>
      <c r="M19" s="36"/>
      <c r="N19" s="35"/>
      <c r="O19" s="34"/>
      <c r="P19" s="33"/>
      <c r="Q19" s="32"/>
    </row>
    <row r="20" spans="1:17" ht="19.95" customHeight="1" x14ac:dyDescent="0.45">
      <c r="A20" s="43"/>
      <c r="B20" s="42"/>
      <c r="C20" s="41"/>
      <c r="D20" s="41"/>
      <c r="E20" s="41"/>
      <c r="F20" s="41"/>
      <c r="G20" s="41"/>
      <c r="H20" s="41"/>
      <c r="I20" s="40"/>
      <c r="J20" s="39"/>
      <c r="K20" s="38"/>
      <c r="L20" s="37"/>
      <c r="M20" s="36"/>
      <c r="N20" s="35"/>
      <c r="O20" s="34"/>
      <c r="P20" s="33"/>
      <c r="Q20" s="32"/>
    </row>
    <row r="21" spans="1:17" ht="19.95" customHeight="1" x14ac:dyDescent="0.45">
      <c r="A21" s="43"/>
      <c r="B21" s="42"/>
      <c r="C21" s="41"/>
      <c r="D21" s="41"/>
      <c r="E21" s="41"/>
      <c r="F21" s="41"/>
      <c r="G21" s="41"/>
      <c r="H21" s="41"/>
      <c r="I21" s="40"/>
      <c r="J21" s="39"/>
      <c r="K21" s="38"/>
      <c r="L21" s="37"/>
      <c r="M21" s="36"/>
      <c r="N21" s="35"/>
      <c r="O21" s="34"/>
      <c r="P21" s="33"/>
      <c r="Q21" s="32"/>
    </row>
    <row r="22" spans="1:17" ht="19.95" customHeight="1" x14ac:dyDescent="0.45">
      <c r="A22" s="43"/>
      <c r="B22" s="42"/>
      <c r="C22" s="41"/>
      <c r="D22" s="41"/>
      <c r="E22" s="41"/>
      <c r="F22" s="41"/>
      <c r="G22" s="41"/>
      <c r="H22" s="41"/>
      <c r="I22" s="40"/>
      <c r="J22" s="39"/>
      <c r="K22" s="38"/>
      <c r="L22" s="37"/>
      <c r="M22" s="36"/>
      <c r="N22" s="35"/>
      <c r="O22" s="34"/>
      <c r="P22" s="33"/>
      <c r="Q22" s="32"/>
    </row>
    <row r="23" spans="1:17" ht="19.95" customHeight="1" x14ac:dyDescent="0.45">
      <c r="A23" s="43"/>
      <c r="B23" s="42"/>
      <c r="C23" s="41"/>
      <c r="D23" s="41"/>
      <c r="E23" s="41"/>
      <c r="F23" s="41"/>
      <c r="G23" s="41"/>
      <c r="H23" s="41"/>
      <c r="I23" s="40"/>
      <c r="J23" s="39"/>
      <c r="K23" s="38"/>
      <c r="L23" s="37"/>
      <c r="M23" s="36"/>
      <c r="N23" s="35"/>
      <c r="O23" s="34"/>
      <c r="P23" s="33"/>
      <c r="Q23" s="32"/>
    </row>
    <row r="24" spans="1:17" ht="19.95" customHeight="1" x14ac:dyDescent="0.45">
      <c r="A24" s="43"/>
      <c r="B24" s="42"/>
      <c r="C24" s="41"/>
      <c r="D24" s="41"/>
      <c r="E24" s="41"/>
      <c r="F24" s="41"/>
      <c r="G24" s="41"/>
      <c r="H24" s="41"/>
      <c r="I24" s="40"/>
      <c r="J24" s="39"/>
      <c r="K24" s="38"/>
      <c r="L24" s="37"/>
      <c r="M24" s="36"/>
      <c r="N24" s="35"/>
      <c r="O24" s="34"/>
      <c r="P24" s="33"/>
      <c r="Q24" s="32"/>
    </row>
    <row r="25" spans="1:17" ht="19.95" customHeight="1" x14ac:dyDescent="0.45">
      <c r="A25" s="43"/>
      <c r="B25" s="42"/>
      <c r="C25" s="41"/>
      <c r="D25" s="41"/>
      <c r="E25" s="41"/>
      <c r="F25" s="41"/>
      <c r="G25" s="41"/>
      <c r="H25" s="41"/>
      <c r="I25" s="40"/>
      <c r="J25" s="39"/>
      <c r="K25" s="38"/>
      <c r="L25" s="37"/>
      <c r="M25" s="36"/>
      <c r="N25" s="35"/>
      <c r="O25" s="34"/>
      <c r="P25" s="33"/>
      <c r="Q25" s="32"/>
    </row>
    <row r="26" spans="1:17" ht="19.95" customHeight="1" x14ac:dyDescent="0.45">
      <c r="A26" s="43"/>
      <c r="B26" s="42"/>
      <c r="C26" s="41"/>
      <c r="D26" s="41"/>
      <c r="E26" s="41"/>
      <c r="F26" s="41"/>
      <c r="G26" s="41"/>
      <c r="H26" s="41"/>
      <c r="I26" s="40"/>
      <c r="J26" s="39"/>
      <c r="K26" s="38"/>
      <c r="L26" s="37"/>
      <c r="M26" s="36"/>
      <c r="N26" s="35"/>
      <c r="O26" s="34"/>
      <c r="P26" s="33"/>
      <c r="Q26" s="32"/>
    </row>
    <row r="27" spans="1:17" ht="19.95" customHeight="1" x14ac:dyDescent="0.45">
      <c r="A27" s="43"/>
      <c r="B27" s="42"/>
      <c r="C27" s="41"/>
      <c r="D27" s="41"/>
      <c r="E27" s="41"/>
      <c r="F27" s="41"/>
      <c r="G27" s="41"/>
      <c r="H27" s="41"/>
      <c r="I27" s="40"/>
      <c r="J27" s="39"/>
      <c r="K27" s="38"/>
      <c r="L27" s="37"/>
      <c r="M27" s="36"/>
      <c r="N27" s="35"/>
      <c r="O27" s="34"/>
      <c r="P27" s="33"/>
      <c r="Q27" s="32"/>
    </row>
    <row r="28" spans="1:17" ht="19.95" customHeight="1" x14ac:dyDescent="0.4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23" t="s">
        <v>3</v>
      </c>
      <c r="L28" s="31">
        <f>SUM(O16:Q27)</f>
        <v>200000</v>
      </c>
      <c r="M28" s="30"/>
      <c r="N28" s="30"/>
      <c r="O28" s="30"/>
      <c r="P28" s="30"/>
      <c r="Q28" s="29"/>
    </row>
    <row r="29" spans="1:17" ht="19.95" customHeight="1" x14ac:dyDescent="0.4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28" t="s">
        <v>2</v>
      </c>
      <c r="L29" s="27">
        <f>L28*10%</f>
        <v>20000</v>
      </c>
      <c r="M29" s="26"/>
      <c r="N29" s="26"/>
      <c r="O29" s="26"/>
      <c r="P29" s="26"/>
      <c r="Q29" s="25"/>
    </row>
    <row r="30" spans="1:17" ht="19.95" customHeight="1" x14ac:dyDescent="0.45">
      <c r="A30" s="17"/>
      <c r="B30" s="24"/>
      <c r="C30" s="24"/>
      <c r="D30" s="24"/>
      <c r="E30" s="24"/>
      <c r="F30" s="24"/>
      <c r="G30" s="17"/>
      <c r="H30" s="17"/>
      <c r="I30" s="17"/>
      <c r="J30" s="17"/>
      <c r="K30" s="23" t="s">
        <v>1</v>
      </c>
      <c r="L30" s="22">
        <f>L28+L29</f>
        <v>220000</v>
      </c>
      <c r="M30" s="21"/>
      <c r="N30" s="21"/>
      <c r="O30" s="21"/>
      <c r="P30" s="21"/>
      <c r="Q30" s="20"/>
    </row>
    <row r="31" spans="1:17" ht="19.95" customHeight="1" x14ac:dyDescent="0.45">
      <c r="A31" s="17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</row>
    <row r="32" spans="1:17" ht="19.95" customHeight="1" thickBot="1" x14ac:dyDescent="0.5">
      <c r="A32" s="17"/>
      <c r="B32" s="18"/>
      <c r="C32" s="18"/>
      <c r="D32" s="18"/>
      <c r="E32" s="18"/>
      <c r="F32" s="18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</row>
    <row r="33" spans="1:17" ht="19.95" customHeight="1" x14ac:dyDescent="0.45">
      <c r="A33" s="16" t="s">
        <v>0</v>
      </c>
      <c r="B33" s="15"/>
      <c r="C33" s="14" t="s">
        <v>35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2"/>
    </row>
    <row r="34" spans="1:17" ht="19.95" customHeight="1" x14ac:dyDescent="0.45">
      <c r="A34" s="11"/>
      <c r="B34" s="10"/>
      <c r="C34" s="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7"/>
    </row>
    <row r="35" spans="1:17" ht="19.95" customHeight="1" thickBot="1" x14ac:dyDescent="0.5">
      <c r="A35" s="6"/>
      <c r="B35" s="5"/>
      <c r="C35" s="4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2"/>
    </row>
  </sheetData>
  <mergeCells count="85">
    <mergeCell ref="B30:F30"/>
    <mergeCell ref="L30:Q30"/>
    <mergeCell ref="B32:F32"/>
    <mergeCell ref="A33:B35"/>
    <mergeCell ref="C33:Q35"/>
    <mergeCell ref="L11:O11"/>
    <mergeCell ref="B27:I27"/>
    <mergeCell ref="J27:K27"/>
    <mergeCell ref="L27:N27"/>
    <mergeCell ref="O27:Q27"/>
    <mergeCell ref="L28:Q28"/>
    <mergeCell ref="L29:Q29"/>
    <mergeCell ref="B25:I25"/>
    <mergeCell ref="J25:K25"/>
    <mergeCell ref="L25:N25"/>
    <mergeCell ref="O25:Q25"/>
    <mergeCell ref="B26:I26"/>
    <mergeCell ref="J26:K26"/>
    <mergeCell ref="L26:N26"/>
    <mergeCell ref="O26:Q26"/>
    <mergeCell ref="B23:I23"/>
    <mergeCell ref="J23:K23"/>
    <mergeCell ref="L23:N23"/>
    <mergeCell ref="O23:Q23"/>
    <mergeCell ref="B24:I24"/>
    <mergeCell ref="J24:K24"/>
    <mergeCell ref="L24:N24"/>
    <mergeCell ref="O24:Q24"/>
    <mergeCell ref="B21:I21"/>
    <mergeCell ref="J21:K21"/>
    <mergeCell ref="L21:N21"/>
    <mergeCell ref="O21:Q21"/>
    <mergeCell ref="B22:I22"/>
    <mergeCell ref="J22:K22"/>
    <mergeCell ref="L22:N22"/>
    <mergeCell ref="O22:Q22"/>
    <mergeCell ref="B19:I19"/>
    <mergeCell ref="J19:K19"/>
    <mergeCell ref="L19:N19"/>
    <mergeCell ref="O19:Q19"/>
    <mergeCell ref="B20:I20"/>
    <mergeCell ref="J20:K20"/>
    <mergeCell ref="L20:N20"/>
    <mergeCell ref="O20:Q20"/>
    <mergeCell ref="B17:I17"/>
    <mergeCell ref="J17:K17"/>
    <mergeCell ref="L17:N17"/>
    <mergeCell ref="O17:Q17"/>
    <mergeCell ref="B18:I18"/>
    <mergeCell ref="J18:K18"/>
    <mergeCell ref="L18:N18"/>
    <mergeCell ref="O18:Q18"/>
    <mergeCell ref="B15:I15"/>
    <mergeCell ref="J15:K15"/>
    <mergeCell ref="L15:N15"/>
    <mergeCell ref="O15:Q15"/>
    <mergeCell ref="B16:I16"/>
    <mergeCell ref="J16:K16"/>
    <mergeCell ref="L16:N16"/>
    <mergeCell ref="O16:Q16"/>
    <mergeCell ref="A13:C13"/>
    <mergeCell ref="D13:G13"/>
    <mergeCell ref="H13:I13"/>
    <mergeCell ref="K13:L13"/>
    <mergeCell ref="M13:Q13"/>
    <mergeCell ref="A9:B9"/>
    <mergeCell ref="C9:I9"/>
    <mergeCell ref="L9:Q9"/>
    <mergeCell ref="A10:B10"/>
    <mergeCell ref="C10:I10"/>
    <mergeCell ref="L10:P10"/>
    <mergeCell ref="A6:B6"/>
    <mergeCell ref="C6:I6"/>
    <mergeCell ref="L6:N6"/>
    <mergeCell ref="B7:K7"/>
    <mergeCell ref="L7:Q7"/>
    <mergeCell ref="L8:Q8"/>
    <mergeCell ref="A1:Q1"/>
    <mergeCell ref="A3:G3"/>
    <mergeCell ref="H3:I3"/>
    <mergeCell ref="L3:M3"/>
    <mergeCell ref="N3:Q3"/>
    <mergeCell ref="B4:C4"/>
    <mergeCell ref="D4:F4"/>
    <mergeCell ref="L4:Q4"/>
  </mergeCells>
  <phoneticPr fontId="2"/>
  <hyperlinks>
    <hyperlink ref="L8" r:id="rId1" xr:uid="{8144E2D0-BEF8-41F4-B8E7-416C6A6AEBD4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94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注文請負書</vt:lpstr>
      <vt:lpstr>2023.07.25中野区【OSAKA】</vt:lpstr>
      <vt:lpstr>'2023.07.25中野区【OSAKA】'!Print_Area</vt:lpstr>
      <vt:lpstr>注文請負書!Print_Area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田中瑠美</dc:creator>
  <cp:lastModifiedBy>瑠美 田中</cp:lastModifiedBy>
  <cp:lastPrinted>2023-07-24T13:10:49Z</cp:lastPrinted>
  <dcterms:created xsi:type="dcterms:W3CDTF">2023-07-24T11:16:07Z</dcterms:created>
  <dcterms:modified xsi:type="dcterms:W3CDTF">2023-07-24T13:13:02Z</dcterms:modified>
</cp:coreProperties>
</file>